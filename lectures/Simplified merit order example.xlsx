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fformacion-my.sharepoint.com/personal/fcorniellec799_alumnos_imf_com/Documents/Documentos/Desktop/17 - Projects/24 - data-science-for-esm/lectures/"/>
    </mc:Choice>
  </mc:AlternateContent>
  <xr:revisionPtr revIDLastSave="910" documentId="8_{B10321C2-96A1-42F6-B7DB-C285CE0230F2}" xr6:coauthVersionLast="47" xr6:coauthVersionMax="47" xr10:uidLastSave="{20DE2D46-8435-441B-82DF-6C5B5315D359}"/>
  <bookViews>
    <workbookView xWindow="-2093" yWindow="-16200" windowWidth="14565" windowHeight="15562" activeTab="1" xr2:uid="{0D21AE2B-3958-40C4-9665-512AF48DED00}"/>
  </bookViews>
  <sheets>
    <sheet name="simplified merit order" sheetId="1" r:id="rId1"/>
    <sheet name="Optimisation problem example" sheetId="2" r:id="rId2"/>
  </sheets>
  <definedNames>
    <definedName name="_xlchart.v1.0" hidden="1">'Optimisation problem example'!$A$32:$A$38</definedName>
    <definedName name="_xlchart.v1.1" hidden="1">'Optimisation problem example'!$B$31</definedName>
    <definedName name="_xlchart.v1.2" hidden="1">'Optimisation problem example'!$B$32:$B$38</definedName>
    <definedName name="_xlchart.v1.3" hidden="1">'Optimisation problem example'!$C$30</definedName>
    <definedName name="_xlchart.v1.4" hidden="1">'Optimisation problem example'!$C$32:$C$33</definedName>
    <definedName name="_xlchart.v1.5" hidden="1">'Optimisation problem example'!$D$32:$D$33</definedName>
    <definedName name="_xlchart.v1.6" hidden="1">'Optimisation problem example'!$E$30</definedName>
    <definedName name="_xlchart.v1.7" hidden="1">'Optimisation problem example'!$E$32</definedName>
    <definedName name="_xlchart.v1.8" hidden="1">'Optimisation problem example'!$F$32</definedName>
    <definedName name="solver_adj" localSheetId="1" hidden="1">'Optimisation problem example'!$B$18:$B$19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'Optimisation problem example'!$B$18</definedName>
    <definedName name="solver_lhs2" localSheetId="1" hidden="1">'Optimisation problem example'!$B$18</definedName>
    <definedName name="solver_lhs3" localSheetId="1" hidden="1">'Optimisation problem example'!$B$19</definedName>
    <definedName name="solver_lhs4" localSheetId="1" hidden="1">'Optimisation problem example'!$B$19</definedName>
    <definedName name="solver_lhs5" localSheetId="1" hidden="1">'Optimisation problem example'!$E$21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'Optimisation problem example'!$C$21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2</definedName>
    <definedName name="solver_rhs1" localSheetId="1" hidden="1">'Optimisation problem example'!$B$13</definedName>
    <definedName name="solver_rhs2" localSheetId="1" hidden="1">'Optimisation problem example'!$B$12</definedName>
    <definedName name="solver_rhs3" localSheetId="1" hidden="1">'Optimisation problem example'!$B$15</definedName>
    <definedName name="solver_rhs4" localSheetId="1" hidden="1">'Optimisation problem example'!$B$14</definedName>
    <definedName name="solver_rhs5" localSheetId="1" hidden="1">'Optimisation problem example'!$B$9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D32" i="2"/>
  <c r="B33" i="2"/>
  <c r="B34" i="2"/>
  <c r="B35" i="2"/>
  <c r="B36" i="2"/>
  <c r="B37" i="2"/>
  <c r="B38" i="2"/>
  <c r="B32" i="2"/>
  <c r="E21" i="2"/>
  <c r="C21" i="2"/>
  <c r="H7" i="1"/>
  <c r="H5" i="1"/>
  <c r="H6" i="1"/>
  <c r="H4" i="1"/>
  <c r="G5" i="1"/>
  <c r="G6" i="1"/>
  <c r="G7" i="1"/>
  <c r="G4" i="1"/>
</calcChain>
</file>

<file path=xl/sharedStrings.xml><?xml version="1.0" encoding="utf-8"?>
<sst xmlns="http://schemas.openxmlformats.org/spreadsheetml/2006/main" count="77" uniqueCount="63">
  <si>
    <t>Simplified merit order example</t>
  </si>
  <si>
    <t>Assume fixed load of 30 GW in a particular hour and no storage or trade of electricity.</t>
  </si>
  <si>
    <t>Which power plants should supply electricity, with</t>
  </si>
  <si>
    <t>no CO2 price?</t>
  </si>
  <si>
    <t>CO2 price of 150 e/tCO2?</t>
  </si>
  <si>
    <t>10 GW of wind / solar production with zero marginal cost?</t>
  </si>
  <si>
    <t>Power Plant</t>
  </si>
  <si>
    <t>Capacity [GW]</t>
  </si>
  <si>
    <t>Efficiency [MWhel/MWhth]</t>
  </si>
  <si>
    <t>Fuel Price [€/MWhth]</t>
  </si>
  <si>
    <t>VOM [€/MWhel]</t>
  </si>
  <si>
    <t>Emissions [tCO2/MWhth]</t>
  </si>
  <si>
    <t>Lignite</t>
  </si>
  <si>
    <t>Hard Coal</t>
  </si>
  <si>
    <t>Gas (CCGT)</t>
  </si>
  <si>
    <t>Uranium</t>
  </si>
  <si>
    <t>≈ 0</t>
  </si>
  <si>
    <t xml:space="preserve">Load </t>
  </si>
  <si>
    <t>GW</t>
  </si>
  <si>
    <t>Value</t>
  </si>
  <si>
    <t>Unit</t>
  </si>
  <si>
    <t>STMGCs (no CO₂ price)</t>
  </si>
  <si>
    <t>Uranium, Lignite, Hard Coal and then 5 GW of GAS (CCGT)</t>
  </si>
  <si>
    <t>STMGCs (150 €/tco₂)</t>
  </si>
  <si>
    <t>CO₂ price</t>
  </si>
  <si>
    <t>€/tco₂</t>
  </si>
  <si>
    <t>Uranium, GAS (CCGT) and 5 GW of Hard Coal</t>
  </si>
  <si>
    <t>Uranium and 15 GW of GAS(CCGT)</t>
  </si>
  <si>
    <t>Optimisation problem example</t>
  </si>
  <si>
    <t xml:space="preserve">There is a power demand of 500 MW that must be met exactly by two power plants. </t>
  </si>
  <si>
    <t xml:space="preserve">Unit 1 is a cheaper coal-fired plant with a cost of 3 €/MWh, a minimum output of 50 MW and a maximum output of 300 MW. </t>
  </si>
  <si>
    <t>Unit 2 is a more expensive gas-fired plant with costs of 4 €/MWh, a minimum output of 100 MW and a maximum output of 400 MW.</t>
  </si>
  <si>
    <t xml:space="preserve"> What is the dispatch of each unit that minimises costs?</t>
  </si>
  <si>
    <t>Parameter</t>
  </si>
  <si>
    <t>Decision Variables</t>
  </si>
  <si>
    <t>MW</t>
  </si>
  <si>
    <t>Demand</t>
  </si>
  <si>
    <t>Cost Unit 1</t>
  </si>
  <si>
    <t>€/MWh</t>
  </si>
  <si>
    <t>Cost Unit 2</t>
  </si>
  <si>
    <t>Min Unit 1</t>
  </si>
  <si>
    <t>Max Unit 1</t>
  </si>
  <si>
    <t>Min Unit 2</t>
  </si>
  <si>
    <t>Max Unit 2</t>
  </si>
  <si>
    <t>X₁</t>
  </si>
  <si>
    <t>X₁ Unit 1</t>
  </si>
  <si>
    <t>X₂ Unit 2</t>
  </si>
  <si>
    <t>Objective function</t>
  </si>
  <si>
    <t>Constraints</t>
  </si>
  <si>
    <t>Total Cost</t>
  </si>
  <si>
    <t>Energy Balance</t>
  </si>
  <si>
    <t>Dispatch limits of Unit 1</t>
  </si>
  <si>
    <t>X₁ + X₂ = 500</t>
  </si>
  <si>
    <t>50 &lt;= X₁ &lt;= 300</t>
  </si>
  <si>
    <t>Dispatch limits of Unit 2</t>
  </si>
  <si>
    <t>100 &lt;= X₂ &lt;= 400</t>
  </si>
  <si>
    <t>Total Generation</t>
  </si>
  <si>
    <t>Value (solver results)</t>
  </si>
  <si>
    <t>Graph method</t>
  </si>
  <si>
    <t>Feasible segment</t>
  </si>
  <si>
    <t>Optimal point</t>
  </si>
  <si>
    <t>Demand line data</t>
  </si>
  <si>
    <t>X₂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</si>
</sst>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'Optimisation problem example'!$A$30</c:f>
              <c:strCache>
                <c:ptCount val="1"/>
                <c:pt idx="0">
                  <c:v>Demand line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'Optimisation problem example'!$A$32:$A$38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</c:numCache>
            </c:numRef>
          </c:xVal>
          <c:yVal>
            <c:numRef>
              <c:f>'Optimisation problem example'!$B$32:$B$38</c:f>
              <c:numCache>
                <c:formatCode>General</c:formatCode>
                <c:ptCount val="7"/>
                <c:pt idx="0">
                  <c:v>500</c:v>
                </c:pt>
                <c:pt idx="1">
                  <c:v>450</c:v>
                </c:pt>
                <c:pt idx="2">
                  <c:v>400</c:v>
                </c:pt>
                <c:pt idx="3">
                  <c:v>300</c:v>
                </c:pt>
                <c:pt idx="4">
                  <c:v>200</c:v>
                </c:pt>
                <c:pt idx="5">
                  <c:v>100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5-432F-BBE2-D0B283CE9517}"/>
            </c:ext>
          </c:extLst>
        </c:ser>
        <c:ser>
          <c:idx val="1"/>
          <c:order val="1"/>
          <c:tx>
            <c:strRef>
              <c:f>'Optimisation problem example'!$C$30</c:f>
              <c:strCache>
                <c:ptCount val="1"/>
                <c:pt idx="0">
                  <c:v>Feasible segment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'Optimisation problem example'!$C$32:$C$33</c:f>
              <c:numCache>
                <c:formatCode>General</c:formatCode>
                <c:ptCount val="2"/>
                <c:pt idx="0">
                  <c:v>100</c:v>
                </c:pt>
                <c:pt idx="1">
                  <c:v>300</c:v>
                </c:pt>
              </c:numCache>
            </c:numRef>
          </c:xVal>
          <c:yVal>
            <c:numRef>
              <c:f>'Optimisation problem example'!$D$32:$D$33</c:f>
              <c:numCache>
                <c:formatCode>General</c:formatCode>
                <c:ptCount val="2"/>
                <c:pt idx="0">
                  <c:v>400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5-432F-BBE2-D0B283CE9517}"/>
            </c:ext>
          </c:extLst>
        </c:ser>
        <c:ser>
          <c:idx val="2"/>
          <c:order val="2"/>
          <c:tx>
            <c:strRef>
              <c:f>'Optimisation problem example'!$E$30</c:f>
              <c:strCache>
                <c:ptCount val="1"/>
                <c:pt idx="0">
                  <c:v>Optimal point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'Optimisation problem example'!$E$32</c:f>
              <c:numCache>
                <c:formatCode>General</c:formatCode>
                <c:ptCount val="1"/>
                <c:pt idx="0">
                  <c:v>300</c:v>
                </c:pt>
              </c:numCache>
            </c:numRef>
          </c:xVal>
          <c:yVal>
            <c:numRef>
              <c:f>'Optimisation problem example'!$F$32</c:f>
              <c:numCache>
                <c:formatCode>General</c:formatCode>
                <c:ptCount val="1"/>
                <c:pt idx="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85-432F-BBE2-D0B283CE9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801008"/>
        <c:axId val="362797648"/>
      </c:scatterChart>
      <c:valAx>
        <c:axId val="36280100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X₁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97648"/>
        <c:crosses val="autoZero"/>
        <c:crossBetween val="midCat"/>
      </c:valAx>
      <c:valAx>
        <c:axId val="362797648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X₂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0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226219</xdr:colOff>
      <xdr:row>33</xdr:row>
      <xdr:rowOff>142875</xdr:rowOff>
    </xdr:from>
    <xdr:to>
      <xdr:col>8</xdr:col>
      <xdr:colOff>411956</xdr:colOff>
      <xdr:row>48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8F1656-30CA-7775-8540-313AB863A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0B1B-71BE-470C-ACC7-D92B7067E333}">
  <dimension ref="A1:H25"/>
  <sheetViews>
    <sheetView workbookViewId="0"/>
  </sheetViews>
  <sheetFormatPr defaultRowHeight="14.25" x14ac:dyDescent="0.45"/>
  <cols>
    <col min="1" max="1" width="9.86328125" bestFit="1" customWidth="1"/>
    <col min="2" max="2" width="11.86328125" bestFit="1" customWidth="1"/>
    <col min="3" max="3" width="21.53125" bestFit="1" customWidth="1"/>
    <col min="4" max="4" width="17.06640625" bestFit="1" customWidth="1"/>
    <col min="5" max="5" width="12.86328125" bestFit="1" customWidth="1"/>
    <col min="6" max="6" width="20.59765625" bestFit="1" customWidth="1"/>
    <col min="7" max="7" width="18.73046875" bestFit="1" customWidth="1"/>
    <col min="8" max="8" width="18.9296875" bestFit="1" customWidth="1"/>
  </cols>
  <sheetData>
    <row r="1" spans="1:8" ht="18" x14ac:dyDescent="0.55000000000000004">
      <c r="A1" s="2" t="s">
        <v>0</v>
      </c>
    </row>
    <row r="3" spans="1:8" x14ac:dyDescent="0.4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3" t="s">
        <v>21</v>
      </c>
      <c r="H3" s="3" t="s">
        <v>23</v>
      </c>
    </row>
    <row r="4" spans="1:8" x14ac:dyDescent="0.45">
      <c r="A4" t="s">
        <v>12</v>
      </c>
      <c r="B4">
        <v>10</v>
      </c>
      <c r="C4">
        <v>0.4</v>
      </c>
      <c r="D4">
        <v>4.5</v>
      </c>
      <c r="E4">
        <v>1</v>
      </c>
      <c r="F4">
        <v>0.36</v>
      </c>
      <c r="G4">
        <f>(D4/C4+E4)</f>
        <v>12.25</v>
      </c>
      <c r="H4">
        <f>G4+$B$13*F4/C4</f>
        <v>147.25</v>
      </c>
    </row>
    <row r="5" spans="1:8" x14ac:dyDescent="0.45">
      <c r="A5" t="s">
        <v>13</v>
      </c>
      <c r="B5">
        <v>10</v>
      </c>
      <c r="C5">
        <v>0.45</v>
      </c>
      <c r="D5">
        <v>11</v>
      </c>
      <c r="E5">
        <v>1</v>
      </c>
      <c r="F5">
        <v>0.36</v>
      </c>
      <c r="G5">
        <f t="shared" ref="G5:G7" si="0">(D5/C5+E5)</f>
        <v>25.444444444444443</v>
      </c>
      <c r="H5">
        <f t="shared" ref="H5:H7" si="1">G5+$B$13*F5/C5</f>
        <v>145.44444444444446</v>
      </c>
    </row>
    <row r="6" spans="1:8" x14ac:dyDescent="0.45">
      <c r="A6" t="s">
        <v>14</v>
      </c>
      <c r="B6">
        <v>20</v>
      </c>
      <c r="C6">
        <v>0.57999999999999996</v>
      </c>
      <c r="D6">
        <v>50</v>
      </c>
      <c r="E6">
        <v>1.5</v>
      </c>
      <c r="F6">
        <v>0.2</v>
      </c>
      <c r="G6">
        <f t="shared" si="0"/>
        <v>87.706896551724142</v>
      </c>
      <c r="H6">
        <f t="shared" si="1"/>
        <v>139.43103448275863</v>
      </c>
    </row>
    <row r="7" spans="1:8" x14ac:dyDescent="0.45">
      <c r="A7" t="s">
        <v>15</v>
      </c>
      <c r="B7">
        <v>5</v>
      </c>
      <c r="C7">
        <v>0.33</v>
      </c>
      <c r="D7">
        <v>3.3</v>
      </c>
      <c r="E7">
        <v>2</v>
      </c>
      <c r="F7" t="s">
        <v>16</v>
      </c>
      <c r="G7">
        <f t="shared" si="0"/>
        <v>11.999999999999998</v>
      </c>
      <c r="H7">
        <f>G7</f>
        <v>11.999999999999998</v>
      </c>
    </row>
    <row r="9" spans="1:8" x14ac:dyDescent="0.45">
      <c r="A9" s="3" t="s">
        <v>1</v>
      </c>
    </row>
    <row r="10" spans="1:8" x14ac:dyDescent="0.45">
      <c r="A10" s="3" t="s">
        <v>2</v>
      </c>
    </row>
    <row r="11" spans="1:8" x14ac:dyDescent="0.45">
      <c r="A11" s="3"/>
      <c r="B11" t="s">
        <v>19</v>
      </c>
      <c r="C11" t="s">
        <v>20</v>
      </c>
    </row>
    <row r="12" spans="1:8" x14ac:dyDescent="0.45">
      <c r="A12" t="s">
        <v>17</v>
      </c>
      <c r="B12">
        <v>30</v>
      </c>
      <c r="C12" t="s">
        <v>18</v>
      </c>
    </row>
    <row r="13" spans="1:8" x14ac:dyDescent="0.45">
      <c r="A13" s="4" t="s">
        <v>24</v>
      </c>
      <c r="B13">
        <v>150</v>
      </c>
      <c r="C13" t="s">
        <v>25</v>
      </c>
    </row>
    <row r="14" spans="1:8" x14ac:dyDescent="0.45">
      <c r="A14" s="4"/>
    </row>
    <row r="15" spans="1:8" x14ac:dyDescent="0.45">
      <c r="A15" s="3" t="s">
        <v>3</v>
      </c>
    </row>
    <row r="17" spans="1:1" x14ac:dyDescent="0.45">
      <c r="A17" t="s">
        <v>22</v>
      </c>
    </row>
    <row r="19" spans="1:1" x14ac:dyDescent="0.45">
      <c r="A19" s="3" t="s">
        <v>4</v>
      </c>
    </row>
    <row r="21" spans="1:1" x14ac:dyDescent="0.45">
      <c r="A21" t="s">
        <v>26</v>
      </c>
    </row>
    <row r="23" spans="1:1" x14ac:dyDescent="0.45">
      <c r="A23" s="3" t="s">
        <v>5</v>
      </c>
    </row>
    <row r="25" spans="1:1" x14ac:dyDescent="0.45">
      <c r="A2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F05D-34A2-406B-B5A3-8F0C08D1776B}">
  <dimension ref="A1:F38"/>
  <sheetViews>
    <sheetView showGridLines="0" tabSelected="1" topLeftCell="A15" workbookViewId="0">
      <selection activeCell="G32" sqref="G32"/>
    </sheetView>
  </sheetViews>
  <sheetFormatPr defaultRowHeight="14.25" x14ac:dyDescent="0.45"/>
  <cols>
    <col min="1" max="1" width="19.53125" bestFit="1" customWidth="1"/>
    <col min="2" max="2" width="19.9296875" bestFit="1" customWidth="1"/>
    <col min="3" max="3" width="11.3984375" bestFit="1" customWidth="1"/>
    <col min="4" max="4" width="13.73046875" bestFit="1" customWidth="1"/>
  </cols>
  <sheetData>
    <row r="1" spans="1:3" ht="18" x14ac:dyDescent="0.55000000000000004">
      <c r="A1" s="2" t="s">
        <v>28</v>
      </c>
    </row>
    <row r="3" spans="1:3" x14ac:dyDescent="0.45">
      <c r="A3" t="s">
        <v>29</v>
      </c>
    </row>
    <row r="4" spans="1:3" x14ac:dyDescent="0.45">
      <c r="A4" t="s">
        <v>30</v>
      </c>
    </row>
    <row r="5" spans="1:3" x14ac:dyDescent="0.45">
      <c r="A5" t="s">
        <v>31</v>
      </c>
    </row>
    <row r="6" spans="1:3" x14ac:dyDescent="0.45">
      <c r="A6" t="s">
        <v>32</v>
      </c>
    </row>
    <row r="8" spans="1:3" x14ac:dyDescent="0.45">
      <c r="A8" s="3" t="s">
        <v>33</v>
      </c>
      <c r="B8" t="s">
        <v>19</v>
      </c>
      <c r="C8" t="s">
        <v>20</v>
      </c>
    </row>
    <row r="9" spans="1:3" x14ac:dyDescent="0.45">
      <c r="A9" t="s">
        <v>36</v>
      </c>
      <c r="B9">
        <v>500</v>
      </c>
      <c r="C9" t="s">
        <v>35</v>
      </c>
    </row>
    <row r="10" spans="1:3" x14ac:dyDescent="0.45">
      <c r="A10" t="s">
        <v>37</v>
      </c>
      <c r="B10">
        <v>3</v>
      </c>
      <c r="C10" t="s">
        <v>38</v>
      </c>
    </row>
    <row r="11" spans="1:3" x14ac:dyDescent="0.45">
      <c r="A11" t="s">
        <v>39</v>
      </c>
      <c r="B11">
        <v>4</v>
      </c>
      <c r="C11" t="s">
        <v>38</v>
      </c>
    </row>
    <row r="12" spans="1:3" x14ac:dyDescent="0.45">
      <c r="A12" t="s">
        <v>40</v>
      </c>
      <c r="B12">
        <v>50</v>
      </c>
      <c r="C12" t="s">
        <v>35</v>
      </c>
    </row>
    <row r="13" spans="1:3" x14ac:dyDescent="0.45">
      <c r="A13" t="s">
        <v>41</v>
      </c>
      <c r="B13">
        <v>300</v>
      </c>
      <c r="C13" t="s">
        <v>35</v>
      </c>
    </row>
    <row r="14" spans="1:3" x14ac:dyDescent="0.45">
      <c r="A14" t="s">
        <v>42</v>
      </c>
      <c r="B14">
        <v>100</v>
      </c>
      <c r="C14" t="s">
        <v>35</v>
      </c>
    </row>
    <row r="15" spans="1:3" x14ac:dyDescent="0.45">
      <c r="A15" t="s">
        <v>43</v>
      </c>
      <c r="B15">
        <v>400</v>
      </c>
      <c r="C15" t="s">
        <v>35</v>
      </c>
    </row>
    <row r="17" spans="1:6" x14ac:dyDescent="0.45">
      <c r="A17" s="3" t="s">
        <v>34</v>
      </c>
      <c r="B17" t="s">
        <v>57</v>
      </c>
      <c r="C17" t="s">
        <v>20</v>
      </c>
    </row>
    <row r="18" spans="1:6" x14ac:dyDescent="0.45">
      <c r="A18" t="s">
        <v>45</v>
      </c>
      <c r="B18" s="1">
        <v>300</v>
      </c>
      <c r="C18" t="s">
        <v>35</v>
      </c>
    </row>
    <row r="19" spans="1:6" x14ac:dyDescent="0.45">
      <c r="A19" t="s">
        <v>46</v>
      </c>
      <c r="B19" s="1">
        <v>200</v>
      </c>
      <c r="C19" t="s">
        <v>35</v>
      </c>
    </row>
    <row r="21" spans="1:6" x14ac:dyDescent="0.45">
      <c r="A21" s="3" t="s">
        <v>47</v>
      </c>
      <c r="B21" t="s">
        <v>49</v>
      </c>
      <c r="C21" s="1">
        <f>B10*B18+B11*B19</f>
        <v>1700</v>
      </c>
      <c r="D21" t="s">
        <v>56</v>
      </c>
      <c r="E21">
        <f>B18+B19</f>
        <v>500</v>
      </c>
    </row>
    <row r="23" spans="1:6" x14ac:dyDescent="0.45">
      <c r="A23" s="3" t="s">
        <v>48</v>
      </c>
    </row>
    <row r="24" spans="1:6" x14ac:dyDescent="0.45">
      <c r="A24" t="s">
        <v>50</v>
      </c>
      <c r="B24" t="s">
        <v>52</v>
      </c>
      <c r="C24" s="5"/>
    </row>
    <row r="25" spans="1:6" x14ac:dyDescent="0.45">
      <c r="A25" t="s">
        <v>51</v>
      </c>
      <c r="B25" t="s">
        <v>53</v>
      </c>
    </row>
    <row r="26" spans="1:6" x14ac:dyDescent="0.45">
      <c r="A26" t="s">
        <v>54</v>
      </c>
      <c r="B26" t="s">
        <v>55</v>
      </c>
    </row>
    <row r="28" spans="1:6" x14ac:dyDescent="0.45">
      <c r="A28" s="3" t="s">
        <v>58</v>
      </c>
    </row>
    <row r="30" spans="1:6" x14ac:dyDescent="0.45">
      <c r="A30" t="s">
        <v>61</v>
      </c>
      <c r="C30" t="s">
        <v>59</v>
      </c>
      <c r="E30" t="s">
        <v>60</v>
      </c>
    </row>
    <row r="31" spans="1:6" x14ac:dyDescent="0.45">
      <c r="A31" t="s">
        <v>44</v>
      </c>
      <c r="B31" t="s">
        <v>62</v>
      </c>
      <c r="C31" t="s">
        <v>44</v>
      </c>
      <c r="D31" t="s">
        <v>62</v>
      </c>
      <c r="E31" t="s">
        <v>44</v>
      </c>
      <c r="F31" t="s">
        <v>62</v>
      </c>
    </row>
    <row r="32" spans="1:6" x14ac:dyDescent="0.45">
      <c r="A32">
        <v>0</v>
      </c>
      <c r="B32">
        <f>$B$9-A32</f>
        <v>500</v>
      </c>
      <c r="C32">
        <v>100</v>
      </c>
      <c r="D32">
        <f>500-C32</f>
        <v>400</v>
      </c>
      <c r="E32">
        <v>300</v>
      </c>
      <c r="F32">
        <v>200</v>
      </c>
    </row>
    <row r="33" spans="1:4" x14ac:dyDescent="0.45">
      <c r="A33">
        <v>50</v>
      </c>
      <c r="B33">
        <f t="shared" ref="B33:B38" si="0">$B$9-A33</f>
        <v>450</v>
      </c>
      <c r="C33">
        <v>300</v>
      </c>
      <c r="D33">
        <f>500-C33</f>
        <v>200</v>
      </c>
    </row>
    <row r="34" spans="1:4" x14ac:dyDescent="0.45">
      <c r="A34">
        <v>100</v>
      </c>
      <c r="B34">
        <f t="shared" si="0"/>
        <v>400</v>
      </c>
    </row>
    <row r="35" spans="1:4" x14ac:dyDescent="0.45">
      <c r="A35">
        <v>200</v>
      </c>
      <c r="B35">
        <f t="shared" si="0"/>
        <v>300</v>
      </c>
    </row>
    <row r="36" spans="1:4" x14ac:dyDescent="0.45">
      <c r="A36">
        <v>300</v>
      </c>
      <c r="B36">
        <f t="shared" si="0"/>
        <v>200</v>
      </c>
    </row>
    <row r="37" spans="1:4" x14ac:dyDescent="0.45">
      <c r="A37">
        <v>400</v>
      </c>
      <c r="B37">
        <f t="shared" si="0"/>
        <v>100</v>
      </c>
    </row>
    <row r="38" spans="1:4" x14ac:dyDescent="0.45">
      <c r="A38">
        <v>500</v>
      </c>
      <c r="B38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simplified merit order</vt:lpstr>
      <vt:lpstr>Optimisation problem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CARLOS CORNIELLE CANDELARIO</dc:creator>
  <cp:lastModifiedBy>FERNANDO CARLOS CORNIELLE CANDELARIO</cp:lastModifiedBy>
  <dcterms:created xsi:type="dcterms:W3CDTF">2026-03-28T22:18:44Z</dcterms:created>
  <dcterms:modified xsi:type="dcterms:W3CDTF">2026-03-30T23:25:15Z</dcterms:modified>
</cp:coreProperties>
</file>